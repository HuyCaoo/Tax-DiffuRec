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4"/>
  </bookViews>
  <sheets>
    <sheet name="V0_DiffuRec" sheetId="1" r:id="rId1"/>
    <sheet name="V1_CatEmb" sheetId="2" r:id="rId2"/>
    <sheet name="V2_TaxLoss" sheetId="3" r:id="rId3"/>
    <sheet name="V3_TaxoDiffuRec" sheetId="4" r:id="rId4"/>
    <sheet name="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<sst xmlns="http://schemas.openxmlformats.org/spreadsheetml/2006/main" count="126" uniqueCount="68">
  <si>
    <t>V0 - DiffuRec gốc</t>
  </si>
  <si>
    <t>Baseline: không Category Embedding, không Hybrid Taxonomy Loss</t>
  </si>
  <si>
    <t>Metric</t>
  </si>
  <si>
    <t>Seed 1997</t>
  </si>
  <si>
    <t>Seed 2024</t>
  </si>
  <si>
    <t>Seed 7</t>
  </si>
  <si>
    <t>Mean</t>
  </si>
  <si>
    <t>Std</t>
  </si>
  <si>
    <t>HR@5</t>
  </si>
  <si>
    <t>HR@10</t>
  </si>
  <si>
    <t>HR@20</t>
  </si>
  <si>
    <t>NDCG@5</t>
  </si>
  <si>
    <t>NDCG@10</t>
  </si>
  <si>
    <t>NDCG@20</t>
  </si>
  <si>
    <t>Ghi chú: Kết quả tính trên tập test, đơn vị phần trăm (%). Mean và Std được tính từ 3 seed: 1997, 2024, 7.</t>
  </si>
  <si>
    <t>V1 - DiffuRec + Category Embedding</t>
  </si>
  <si>
    <t>Chỉ sử dụng Category-aware Representation, không dùng Hybrid Taxonomy Loss</t>
  </si>
  <si>
    <t>V2 - DiffuRec + Hybrid Taxonomy Loss</t>
  </si>
  <si>
    <t>Chỉ sử dụng Hybrid Taxonomy Loss, không cộng Category Embedding vào input</t>
  </si>
  <si>
    <t>V3 - Taxo-DiffuRec đầy đủ</t>
  </si>
  <si>
    <t>Sử dụng cả Category-aware Representation và Hybrid Taxonomy Loss</t>
  </si>
  <si>
    <t>Ablation Study - Toys Dataset (Mean ± Std over 3 seeds)</t>
  </si>
  <si>
    <t>So sánh 4 biến thể: V0 DiffuRec, V1 Category Embedding, V2 Hybrid Taxonomy Loss, V3 mô hình đầy đủ Taxo-DiffuRec.</t>
  </si>
  <si>
    <t>Variant</t>
  </si>
  <si>
    <t>Mô tả</t>
  </si>
  <si>
    <t>V0</t>
  </si>
  <si>
    <t>DiffuRec gốc</t>
  </si>
  <si>
    <t>4.6286 ± 0.5426</t>
  </si>
  <si>
    <t>5.9484 ± 0.6348</t>
  </si>
  <si>
    <t>7.6420 ± 0.7082</t>
  </si>
  <si>
    <t>3.4919 ± 0.4613</t>
  </si>
  <si>
    <t>3.9163 ± 0.4897</t>
  </si>
  <si>
    <t>4.3426 ± 0.5040</t>
  </si>
  <si>
    <t>V1</t>
  </si>
  <si>
    <t>DiffuRec + Category Embedding</t>
  </si>
  <si>
    <t>3.9505 ± 1.5896</t>
  </si>
  <si>
    <t>5.0963 ± 1.8117</t>
  </si>
  <si>
    <t>6.6731 ± 2.1072</t>
  </si>
  <si>
    <t>2.9862 ± 1.3313</t>
  </si>
  <si>
    <t>3.3582 ± 1.4035</t>
  </si>
  <si>
    <t>3.7548 ± 1.4774</t>
  </si>
  <si>
    <t>V2</t>
  </si>
  <si>
    <t>DiffuRec + Hybrid Taxonomy Loss</t>
  </si>
  <si>
    <t>4.8007 ± 0.3117</t>
  </si>
  <si>
    <t>6.2043 ± 0.3754</t>
  </si>
  <si>
    <t>8.0414 ± 0.3856</t>
  </si>
  <si>
    <t>3.6501 ± 0.3286</t>
  </si>
  <si>
    <t>4.1019 ± 0.3487</t>
  </si>
  <si>
    <t>4.5645 ± 0.3490</t>
  </si>
  <si>
    <t>V3</t>
  </si>
  <si>
    <t>Taxo-DiffuRec đầy đủ</t>
  </si>
  <si>
    <t>5.1538 ± 0.0608</t>
  </si>
  <si>
    <t>6.4913 ± 0.0677</t>
  </si>
  <si>
    <t>8.2558 ± 0.0229</t>
  </si>
  <si>
    <t>3.9422 ± 0.0296</t>
  </si>
  <si>
    <t>4.3717 ± 0.0369</t>
  </si>
  <si>
    <t>4.8165 ± 0.0319</t>
  </si>
  <si>
    <t>Bảng số liệu tách Mean và Std</t>
  </si>
  <si>
    <t>V0 Mean</t>
  </si>
  <si>
    <t>V0 Std</t>
  </si>
  <si>
    <t>V1 Mean</t>
  </si>
  <si>
    <t>V1 Std</t>
  </si>
  <si>
    <t>V2 Mean</t>
  </si>
  <si>
    <t>V2 Std</t>
  </si>
  <si>
    <t>V3 Mean</t>
  </si>
  <si>
    <t>V3 Std</t>
  </si>
  <si>
    <t>All</t>
  </si>
  <si>
    <t>Nhận xét nhanh: V3 đạt mean cao nhất và std thấp nhất trên toàn bộ chỉ số. V1 có độ lệch chuẩn lớn do seed 7 giảm mạnh, cho thấy Category Embedding khi dùng riêng chưa ổn định. V2 cải thiện so với V0 ở phần lớn chỉ số, nhưng kém V3.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</si>
</sst>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0.0000"/>
  </numFmts>
  <fonts count="26">
    <font>
      <sz val="11"/>
      <name val="Carlito"/>
      <charset val="134"/>
    </font>
    <font>
      <b/>
      <sz val="14"/>
      <color rgb="FFFFFFFF"/>
      <name val="Carlito"/>
      <charset val="134"/>
    </font>
    <font>
      <i/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b/>
      <sz val="13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E6F4F1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4" applyNumberFormat="0" applyAlignment="0" applyProtection="0">
      <alignment vertical="center"/>
    </xf>
    <xf numFmtId="0" fontId="16" fillId="14" borderId="5" applyNumberFormat="0" applyAlignment="0" applyProtection="0">
      <alignment vertical="center"/>
    </xf>
    <xf numFmtId="0" fontId="17" fillId="14" borderId="4" applyNumberFormat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2" fillId="3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horizontal="center" vertical="center"/>
    </xf>
    <xf numFmtId="0" fontId="4" fillId="4" borderId="0" xfId="0" applyNumberFormat="1" applyFont="1" applyFill="1" applyBorder="1"/>
    <xf numFmtId="0" fontId="0" fillId="4" borderId="0" xfId="0" applyNumberFormat="1" applyFont="1" applyFill="1" applyBorder="1"/>
    <xf numFmtId="49" fontId="0" fillId="4" borderId="0" xfId="0" applyNumberFormat="1" applyFont="1" applyFill="1" applyBorder="1"/>
    <xf numFmtId="0" fontId="4" fillId="5" borderId="0" xfId="0" applyNumberFormat="1" applyFont="1" applyFill="1" applyBorder="1"/>
    <xf numFmtId="0" fontId="0" fillId="5" borderId="0" xfId="0" applyNumberFormat="1" applyFont="1" applyFill="1" applyBorder="1"/>
    <xf numFmtId="49" fontId="0" fillId="5" borderId="0" xfId="0" applyNumberFormat="1" applyFont="1" applyFill="1" applyBorder="1"/>
    <xf numFmtId="0" fontId="4" fillId="6" borderId="0" xfId="0" applyNumberFormat="1" applyFont="1" applyFill="1" applyBorder="1"/>
    <xf numFmtId="0" fontId="0" fillId="6" borderId="0" xfId="0" applyNumberFormat="1" applyFont="1" applyFill="1" applyBorder="1"/>
    <xf numFmtId="49" fontId="0" fillId="6" borderId="0" xfId="0" applyNumberFormat="1" applyFont="1" applyFill="1" applyBorder="1"/>
    <xf numFmtId="0" fontId="4" fillId="7" borderId="0" xfId="0" applyNumberFormat="1" applyFont="1" applyFill="1" applyBorder="1"/>
    <xf numFmtId="0" fontId="0" fillId="7" borderId="0" xfId="0" applyNumberFormat="1" applyFont="1" applyFill="1" applyBorder="1"/>
    <xf numFmtId="49" fontId="0" fillId="7" borderId="0" xfId="0" applyNumberFormat="1" applyFont="1" applyFill="1" applyBorder="1"/>
    <xf numFmtId="0" fontId="3" fillId="8" borderId="0" xfId="0" applyNumberFormat="1" applyFont="1" applyFill="1" applyBorder="1" applyAlignment="1">
      <alignment horizontal="center"/>
    </xf>
    <xf numFmtId="0" fontId="3" fillId="8" borderId="0" xfId="0" applyNumberFormat="1" applyFont="1" applyFill="1" applyBorder="1" applyAlignment="1">
      <alignment horizontal="center"/>
    </xf>
    <xf numFmtId="0" fontId="3" fillId="8" borderId="0" xfId="0" applyNumberFormat="1" applyFont="1" applyFill="1" applyBorder="1" applyAlignment="1">
      <alignment horizontal="center"/>
    </xf>
    <xf numFmtId="0" fontId="3" fillId="8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center"/>
    </xf>
    <xf numFmtId="180" fontId="0" fillId="0" borderId="0" xfId="0" applyNumberFormat="1" applyFont="1" applyFill="1" applyBorder="1" applyAlignment="1">
      <alignment horizontal="center"/>
    </xf>
    <xf numFmtId="18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center"/>
    </xf>
    <xf numFmtId="180" fontId="0" fillId="0" borderId="0" xfId="0" applyNumberFormat="1" applyFont="1" applyFill="1" applyBorder="1" applyAlignment="1">
      <alignment horizontal="center"/>
    </xf>
    <xf numFmtId="180" fontId="0" fillId="0" borderId="0" xfId="0" applyNumberFormat="1" applyFont="1" applyFill="1" applyBorder="1" applyAlignment="1">
      <alignment horizontal="center"/>
    </xf>
    <xf numFmtId="0" fontId="0" fillId="9" borderId="0" xfId="0" applyNumberFormat="1" applyFont="1" applyFill="1" applyBorder="1" applyAlignment="1">
      <alignment vertical="top" wrapText="1"/>
    </xf>
    <xf numFmtId="0" fontId="5" fillId="8" borderId="0" xfId="0" applyNumberFormat="1" applyFont="1" applyFill="1" applyBorder="1" applyAlignment="1">
      <alignment horizontal="center"/>
    </xf>
    <xf numFmtId="0" fontId="2" fillId="1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>
      <alignment horizontal="center"/>
    </xf>
    <xf numFmtId="180" fontId="0" fillId="0" borderId="0" xfId="0" applyNumberFormat="1" applyFont="1" applyFill="1" applyBorder="1" applyAlignment="1">
      <alignment horizontal="center"/>
    </xf>
    <xf numFmtId="180" fontId="4" fillId="7" borderId="0" xfId="0" applyNumberFormat="1" applyFont="1" applyFill="1" applyBorder="1" applyAlignment="1">
      <alignment horizontal="center"/>
    </xf>
    <xf numFmtId="180" fontId="0" fillId="11" borderId="0" xfId="0" applyNumberFormat="1" applyFont="1" applyFill="1" applyBorder="1" applyAlignment="1">
      <alignment horizontal="center"/>
    </xf>
    <xf numFmtId="180" fontId="4" fillId="7" borderId="0" xfId="0" applyNumberFormat="1" applyFont="1" applyFill="1" applyBorder="1" applyAlignment="1">
      <alignment horizontal="center"/>
    </xf>
    <xf numFmtId="180" fontId="0" fillId="11" borderId="0" xfId="0" applyNumberFormat="1" applyFont="1" applyFill="1" applyBorder="1" applyAlignment="1">
      <alignment horizontal="center"/>
    </xf>
    <xf numFmtId="180" fontId="4" fillId="7" borderId="0" xfId="0" applyNumberFormat="1" applyFont="1" applyFill="1" applyBorder="1" applyAlignment="1">
      <alignment horizontal="center"/>
    </xf>
    <xf numFmtId="180" fontId="0" fillId="11" borderId="0" xfId="0" applyNumberFormat="1" applyFont="1" applyFill="1" applyBorder="1" applyAlignment="1">
      <alignment horizontal="center"/>
    </xf>
    <xf numFmtId="0" fontId="0" fillId="9" borderId="0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"V0"</c:f>
              <c:strCache>
                <c:ptCount val="1"/>
                <c:pt idx="0">
                  <c:v>V0</c:v>
                </c:pt>
              </c:strCache>
            </c:strRef>
          </c:tx>
          <c:invertIfNegative val="0"/>
          <c:dLbls>
            <c:delete val="1"/>
          </c:dLbls>
          <c:cat>
            <c:strRef>
              <c:f>Summary!$B$13:$B$18</c:f>
              <c:strCache>
                <c:ptCount val="6"/>
                <c:pt idx="0">
                  <c:v>HR@5</c:v>
                </c:pt>
                <c:pt idx="1">
                  <c:v>HR@10</c:v>
                </c:pt>
                <c:pt idx="2">
                  <c:v>HR@20</c:v>
                </c:pt>
                <c:pt idx="3">
                  <c:v>NDCG@5</c:v>
                </c:pt>
                <c:pt idx="4">
                  <c:v>NDCG@10</c:v>
                </c:pt>
                <c:pt idx="5">
                  <c:v>NDCG@20</c:v>
                </c:pt>
              </c:strCache>
            </c:strRef>
          </c:cat>
          <c:val>
            <c:numRef>
              <c:f>Summary!$C$13:$C$18</c:f>
              <c:numCache>
                <c:formatCode>0.0000</c:formatCode>
                <c:ptCount val="6"/>
                <c:pt idx="0">
                  <c:v>4.62863333333333</c:v>
                </c:pt>
                <c:pt idx="1">
                  <c:v>5.9484</c:v>
                </c:pt>
                <c:pt idx="2">
                  <c:v>7.64203333333333</c:v>
                </c:pt>
                <c:pt idx="3">
                  <c:v>3.4919</c:v>
                </c:pt>
                <c:pt idx="4">
                  <c:v>3.9163</c:v>
                </c:pt>
                <c:pt idx="5">
                  <c:v>4.34263333333333</c:v>
                </c:pt>
              </c:numCache>
            </c:numRef>
          </c:val>
        </c:ser>
        <c:ser>
          <c:idx val="1"/>
          <c:order val="1"/>
          <c:tx>
            <c:strRef>
              <c:f>"V1"</c:f>
              <c:strCache>
                <c:ptCount val="1"/>
                <c:pt idx="0">
                  <c:v>V1</c:v>
                </c:pt>
              </c:strCache>
            </c:strRef>
          </c:tx>
          <c:invertIfNegative val="0"/>
          <c:dLbls>
            <c:delete val="1"/>
          </c:dLbls>
          <c:cat>
            <c:strRef>
              <c:f>Summary!$B$13:$B$18</c:f>
              <c:strCache>
                <c:ptCount val="6"/>
                <c:pt idx="0">
                  <c:v>HR@5</c:v>
                </c:pt>
                <c:pt idx="1">
                  <c:v>HR@10</c:v>
                </c:pt>
                <c:pt idx="2">
                  <c:v>HR@20</c:v>
                </c:pt>
                <c:pt idx="3">
                  <c:v>NDCG@5</c:v>
                </c:pt>
                <c:pt idx="4">
                  <c:v>NDCG@10</c:v>
                </c:pt>
                <c:pt idx="5">
                  <c:v>NDCG@20</c:v>
                </c:pt>
              </c:strCache>
            </c:strRef>
          </c:cat>
          <c:val>
            <c:numRef>
              <c:f>Summary!$E$13:$E$18</c:f>
              <c:numCache>
                <c:formatCode>0.0000</c:formatCode>
                <c:ptCount val="6"/>
                <c:pt idx="0">
                  <c:v>3.9505</c:v>
                </c:pt>
                <c:pt idx="1">
                  <c:v>5.0963</c:v>
                </c:pt>
                <c:pt idx="2">
                  <c:v>6.67306666666667</c:v>
                </c:pt>
                <c:pt idx="3">
                  <c:v>2.98616666666667</c:v>
                </c:pt>
                <c:pt idx="4">
                  <c:v>3.3582</c:v>
                </c:pt>
                <c:pt idx="5">
                  <c:v>3.75476666666667</c:v>
                </c:pt>
              </c:numCache>
            </c:numRef>
          </c:val>
        </c:ser>
        <c:ser>
          <c:idx val="2"/>
          <c:order val="2"/>
          <c:tx>
            <c:strRef>
              <c:f>"V2"</c:f>
              <c:strCache>
                <c:ptCount val="1"/>
                <c:pt idx="0">
                  <c:v>V2</c:v>
                </c:pt>
              </c:strCache>
            </c:strRef>
          </c:tx>
          <c:invertIfNegative val="0"/>
          <c:dLbls>
            <c:delete val="1"/>
          </c:dLbls>
          <c:cat>
            <c:strRef>
              <c:f>Summary!$B$13:$B$18</c:f>
              <c:strCache>
                <c:ptCount val="6"/>
                <c:pt idx="0">
                  <c:v>HR@5</c:v>
                </c:pt>
                <c:pt idx="1">
                  <c:v>HR@10</c:v>
                </c:pt>
                <c:pt idx="2">
                  <c:v>HR@20</c:v>
                </c:pt>
                <c:pt idx="3">
                  <c:v>NDCG@5</c:v>
                </c:pt>
                <c:pt idx="4">
                  <c:v>NDCG@10</c:v>
                </c:pt>
                <c:pt idx="5">
                  <c:v>NDCG@20</c:v>
                </c:pt>
              </c:strCache>
            </c:strRef>
          </c:cat>
          <c:val>
            <c:numRef>
              <c:f>Summary!$G$13:$G$18</c:f>
              <c:numCache>
                <c:formatCode>0.0000</c:formatCode>
                <c:ptCount val="6"/>
                <c:pt idx="0">
                  <c:v>4.80066666666667</c:v>
                </c:pt>
                <c:pt idx="1">
                  <c:v>6.20433333333333</c:v>
                </c:pt>
                <c:pt idx="2">
                  <c:v>8.04143333333333</c:v>
                </c:pt>
                <c:pt idx="3">
                  <c:v>3.6501</c:v>
                </c:pt>
                <c:pt idx="4">
                  <c:v>4.10186666666667</c:v>
                </c:pt>
                <c:pt idx="5">
                  <c:v>4.56453333333333</c:v>
                </c:pt>
              </c:numCache>
            </c:numRef>
          </c:val>
        </c:ser>
        <c:ser>
          <c:idx val="3"/>
          <c:order val="3"/>
          <c:tx>
            <c:strRef>
              <c:f>"V3"</c:f>
              <c:strCache>
                <c:ptCount val="1"/>
                <c:pt idx="0">
                  <c:v>V3</c:v>
                </c:pt>
              </c:strCache>
            </c:strRef>
          </c:tx>
          <c:invertIfNegative val="0"/>
          <c:dLbls>
            <c:delete val="1"/>
          </c:dLbls>
          <c:cat>
            <c:strRef>
              <c:f>Summary!$B$13:$B$18</c:f>
              <c:strCache>
                <c:ptCount val="6"/>
                <c:pt idx="0">
                  <c:v>HR@5</c:v>
                </c:pt>
                <c:pt idx="1">
                  <c:v>HR@10</c:v>
                </c:pt>
                <c:pt idx="2">
                  <c:v>HR@20</c:v>
                </c:pt>
                <c:pt idx="3">
                  <c:v>NDCG@5</c:v>
                </c:pt>
                <c:pt idx="4">
                  <c:v>NDCG@10</c:v>
                </c:pt>
                <c:pt idx="5">
                  <c:v>NDCG@20</c:v>
                </c:pt>
              </c:strCache>
            </c:strRef>
          </c:cat>
          <c:val>
            <c:numRef>
              <c:f>Summary!$I$13:$I$18</c:f>
              <c:numCache>
                <c:formatCode>0.0000</c:formatCode>
                <c:ptCount val="6"/>
                <c:pt idx="0">
                  <c:v>5.15383333333333</c:v>
                </c:pt>
                <c:pt idx="1">
                  <c:v>6.49126666666667</c:v>
                </c:pt>
                <c:pt idx="2">
                  <c:v>8.2558</c:v>
                </c:pt>
                <c:pt idx="3">
                  <c:v>3.9422</c:v>
                </c:pt>
                <c:pt idx="4">
                  <c:v>4.3717</c:v>
                </c:pt>
                <c:pt idx="5">
                  <c:v>4.81653333333333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.00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0a7598-87a1-4983-8f34-bcb41b04089e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22</xdr:row>
      <xdr:rowOff>0</xdr:rowOff>
    </xdr:to>
    <xdr:graphicFrame>
      <xdr:nvGraphicFramePr>
        <xdr:cNvPr id="2" name="Chart"/>
        <xdr:cNvGraphicFramePr/>
      </xdr:nvGraphicFramePr>
      <xdr:xfrm>
        <a:off x="13639800" y="571500"/>
        <a:ext cx="6172200" cy="3329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ummaryTable" displayName="SummaryTable" ref="A4:H8">
  <tableColumns count="8">
    <tableColumn id="1" name="Variant"/>
    <tableColumn id="2" name="Mô tả"/>
    <tableColumn id="3" name="HR@5"/>
    <tableColumn id="4" name="HR@10"/>
    <tableColumn id="5" name="HR@20"/>
    <tableColumn id="6" name="NDCG@5"/>
    <tableColumn id="7" name="NDCG@10"/>
    <tableColumn id="8" name="NDCG@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1" sqref="A1:F1"/>
    </sheetView>
  </sheetViews>
  <sheetFormatPr defaultColWidth="9" defaultRowHeight="13.8" outlineLevelCol="5"/>
  <cols>
    <col min="1" max="1" width="16" customWidth="1"/>
    <col min="2" max="6" width="13" customWidth="1"/>
  </cols>
  <sheetData>
    <row r="1" ht="16.8" spans="1:6">
      <c r="A1" s="29" t="s">
        <v>0</v>
      </c>
      <c r="B1" s="29"/>
      <c r="C1" s="29"/>
      <c r="D1" s="29"/>
      <c r="E1" s="29"/>
      <c r="F1" s="29"/>
    </row>
    <row r="2" spans="1:6">
      <c r="A2" s="30" t="s">
        <v>1</v>
      </c>
      <c r="B2" s="30"/>
      <c r="C2" s="30"/>
      <c r="D2" s="30"/>
      <c r="E2" s="30"/>
      <c r="F2" s="30"/>
    </row>
    <row r="4" spans="1:6">
      <c r="A4" s="16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</row>
    <row r="5" spans="1:6">
      <c r="A5" s="31" t="s">
        <v>8</v>
      </c>
      <c r="B5" s="32">
        <v>4.9224</v>
      </c>
      <c r="C5" s="32">
        <v>3.8678</v>
      </c>
      <c r="D5" s="32">
        <v>5.0957</v>
      </c>
      <c r="E5" s="33">
        <f t="shared" ref="E5:E10" si="0">AVERAGE(B5:D5)</f>
        <v>4.62863333333333</v>
      </c>
      <c r="F5" s="34">
        <f t="shared" ref="F5:F10" si="1">_xlfn.STDEV.P(B5:D5)</f>
        <v>0.542622485916518</v>
      </c>
    </row>
    <row r="6" spans="1:6">
      <c r="A6" s="20" t="s">
        <v>9</v>
      </c>
      <c r="B6" s="22">
        <v>6.271</v>
      </c>
      <c r="C6" s="22">
        <v>5.0615</v>
      </c>
      <c r="D6" s="22">
        <v>6.5127</v>
      </c>
      <c r="E6" s="35">
        <f t="shared" si="0"/>
        <v>5.9484</v>
      </c>
      <c r="F6" s="36">
        <f t="shared" si="1"/>
        <v>0.634848239082906</v>
      </c>
    </row>
    <row r="7" spans="1:6">
      <c r="A7" s="20" t="s">
        <v>10</v>
      </c>
      <c r="B7" s="22">
        <v>8.1428</v>
      </c>
      <c r="C7" s="22">
        <v>6.6405</v>
      </c>
      <c r="D7" s="22">
        <v>8.1428</v>
      </c>
      <c r="E7" s="35">
        <f t="shared" si="0"/>
        <v>7.64203333333333</v>
      </c>
      <c r="F7" s="36">
        <f t="shared" si="1"/>
        <v>0.708191011584366</v>
      </c>
    </row>
    <row r="8" spans="1:6">
      <c r="A8" s="20" t="s">
        <v>11</v>
      </c>
      <c r="B8" s="22">
        <v>3.6753</v>
      </c>
      <c r="C8" s="22">
        <v>2.858</v>
      </c>
      <c r="D8" s="22">
        <v>3.9424</v>
      </c>
      <c r="E8" s="35">
        <f t="shared" si="0"/>
        <v>3.4919</v>
      </c>
      <c r="F8" s="36">
        <f t="shared" si="1"/>
        <v>0.461307930418139</v>
      </c>
    </row>
    <row r="9" spans="1:6">
      <c r="A9" s="20" t="s">
        <v>12</v>
      </c>
      <c r="B9" s="22">
        <v>4.1089</v>
      </c>
      <c r="C9" s="22">
        <v>3.2439</v>
      </c>
      <c r="D9" s="22">
        <v>4.3961</v>
      </c>
      <c r="E9" s="35">
        <f t="shared" si="0"/>
        <v>3.9163</v>
      </c>
      <c r="F9" s="36">
        <f t="shared" si="1"/>
        <v>0.489702140761776</v>
      </c>
    </row>
    <row r="10" spans="1:6">
      <c r="A10" s="24" t="s">
        <v>13</v>
      </c>
      <c r="B10" s="26">
        <v>4.5817</v>
      </c>
      <c r="C10" s="26">
        <v>3.6416</v>
      </c>
      <c r="D10" s="26">
        <v>4.8046</v>
      </c>
      <c r="E10" s="37">
        <f t="shared" si="0"/>
        <v>4.34263333333333</v>
      </c>
      <c r="F10" s="38">
        <f t="shared" si="1"/>
        <v>0.503988692553932</v>
      </c>
    </row>
    <row r="12" spans="1:6">
      <c r="A12" s="39" t="s">
        <v>14</v>
      </c>
      <c r="B12" s="39"/>
      <c r="C12" s="39"/>
      <c r="D12" s="39"/>
      <c r="E12" s="39"/>
      <c r="F12" s="39"/>
    </row>
  </sheetData>
  <mergeCells count="3">
    <mergeCell ref="A1:F1"/>
    <mergeCell ref="A2:F2"/>
    <mergeCell ref="A12:F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1" sqref="A1:F1"/>
    </sheetView>
  </sheetViews>
  <sheetFormatPr defaultColWidth="9" defaultRowHeight="13.8" outlineLevelCol="5"/>
  <cols>
    <col min="1" max="1" width="16" customWidth="1"/>
    <col min="2" max="6" width="13" customWidth="1"/>
  </cols>
  <sheetData>
    <row r="1" ht="16.8" spans="1:6">
      <c r="A1" s="29" t="s">
        <v>15</v>
      </c>
      <c r="B1" s="29"/>
      <c r="C1" s="29"/>
      <c r="D1" s="29"/>
      <c r="E1" s="29"/>
      <c r="F1" s="29"/>
    </row>
    <row r="2" spans="1:6">
      <c r="A2" s="30" t="s">
        <v>16</v>
      </c>
      <c r="B2" s="30"/>
      <c r="C2" s="30"/>
      <c r="D2" s="30"/>
      <c r="E2" s="30"/>
      <c r="F2" s="30"/>
    </row>
    <row r="4" spans="1:6">
      <c r="A4" s="16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</row>
    <row r="5" spans="1:6">
      <c r="A5" s="31" t="s">
        <v>8</v>
      </c>
      <c r="B5" s="32">
        <v>5.0718</v>
      </c>
      <c r="C5" s="32">
        <v>5.0773</v>
      </c>
      <c r="D5" s="32">
        <v>1.7024</v>
      </c>
      <c r="E5" s="33">
        <f t="shared" ref="E5:E10" si="0">AVERAGE(B5:D5)</f>
        <v>3.9505</v>
      </c>
      <c r="F5" s="34">
        <f t="shared" ref="F5:F10" si="1">_xlfn.STDEV.P(B5:D5)</f>
        <v>1.58964834056676</v>
      </c>
    </row>
    <row r="6" spans="1:6">
      <c r="A6" s="20" t="s">
        <v>9</v>
      </c>
      <c r="B6" s="22">
        <v>6.4033</v>
      </c>
      <c r="C6" s="22">
        <v>6.3512</v>
      </c>
      <c r="D6" s="22">
        <v>2.5344</v>
      </c>
      <c r="E6" s="35">
        <f t="shared" si="0"/>
        <v>5.0963</v>
      </c>
      <c r="F6" s="36">
        <f t="shared" si="1"/>
        <v>1.81166172523092</v>
      </c>
    </row>
    <row r="7" spans="1:6">
      <c r="A7" s="20" t="s">
        <v>10</v>
      </c>
      <c r="B7" s="22">
        <v>8.2292</v>
      </c>
      <c r="C7" s="22">
        <v>8.0959</v>
      </c>
      <c r="D7" s="22">
        <v>3.6941</v>
      </c>
      <c r="E7" s="35">
        <f t="shared" si="0"/>
        <v>6.67306666666667</v>
      </c>
      <c r="F7" s="36">
        <f t="shared" si="1"/>
        <v>2.10715037010229</v>
      </c>
    </row>
    <row r="8" spans="1:6">
      <c r="A8" s="20" t="s">
        <v>11</v>
      </c>
      <c r="B8" s="22">
        <v>3.8574</v>
      </c>
      <c r="C8" s="22">
        <v>3.996</v>
      </c>
      <c r="D8" s="22">
        <v>1.1051</v>
      </c>
      <c r="E8" s="35">
        <f t="shared" si="0"/>
        <v>2.98616666666667</v>
      </c>
      <c r="F8" s="36">
        <f t="shared" si="1"/>
        <v>1.33131797938067</v>
      </c>
    </row>
    <row r="9" spans="1:6">
      <c r="A9" s="20" t="s">
        <v>12</v>
      </c>
      <c r="B9" s="22">
        <v>4.2902</v>
      </c>
      <c r="C9" s="22">
        <v>4.4098</v>
      </c>
      <c r="D9" s="22">
        <v>1.3746</v>
      </c>
      <c r="E9" s="35">
        <f t="shared" si="0"/>
        <v>3.3582</v>
      </c>
      <c r="F9" s="36">
        <f t="shared" si="1"/>
        <v>1.40346660333143</v>
      </c>
    </row>
    <row r="10" spans="1:6">
      <c r="A10" s="24" t="s">
        <v>13</v>
      </c>
      <c r="B10" s="26">
        <v>4.7484</v>
      </c>
      <c r="C10" s="26">
        <v>4.8497</v>
      </c>
      <c r="D10" s="26">
        <v>1.6662</v>
      </c>
      <c r="E10" s="37">
        <f t="shared" si="0"/>
        <v>3.75476666666667</v>
      </c>
      <c r="F10" s="38">
        <f t="shared" si="1"/>
        <v>1.4774185738044</v>
      </c>
    </row>
    <row r="12" spans="1:6">
      <c r="A12" s="39" t="s">
        <v>14</v>
      </c>
      <c r="B12" s="39"/>
      <c r="C12" s="39"/>
      <c r="D12" s="39"/>
      <c r="E12" s="39"/>
      <c r="F12" s="39"/>
    </row>
  </sheetData>
  <mergeCells count="3">
    <mergeCell ref="A1:F1"/>
    <mergeCell ref="A2:F2"/>
    <mergeCell ref="A12:F1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1" sqref="A1:F1"/>
    </sheetView>
  </sheetViews>
  <sheetFormatPr defaultColWidth="9" defaultRowHeight="13.8" outlineLevelCol="5"/>
  <cols>
    <col min="1" max="1" width="16" customWidth="1"/>
    <col min="2" max="6" width="13" customWidth="1"/>
  </cols>
  <sheetData>
    <row r="1" ht="16.8" spans="1:6">
      <c r="A1" s="29" t="s">
        <v>17</v>
      </c>
      <c r="B1" s="29"/>
      <c r="C1" s="29"/>
      <c r="D1" s="29"/>
      <c r="E1" s="29"/>
      <c r="F1" s="29"/>
    </row>
    <row r="2" spans="1:6">
      <c r="A2" s="30" t="s">
        <v>18</v>
      </c>
      <c r="B2" s="30"/>
      <c r="C2" s="30"/>
      <c r="D2" s="30"/>
      <c r="E2" s="30"/>
      <c r="F2" s="30"/>
    </row>
    <row r="4" spans="1:6">
      <c r="A4" s="16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</row>
    <row r="5" spans="1:6">
      <c r="A5" s="31" t="s">
        <v>8</v>
      </c>
      <c r="B5" s="32">
        <v>4.3602</v>
      </c>
      <c r="C5" s="32">
        <v>5.0045</v>
      </c>
      <c r="D5" s="32">
        <v>5.0373</v>
      </c>
      <c r="E5" s="33">
        <f t="shared" ref="E5:E10" si="0">AVERAGE(B5:D5)</f>
        <v>4.80066666666667</v>
      </c>
      <c r="F5" s="34">
        <f t="shared" ref="F5:F10" si="1">_xlfn.STDEV.P(B5:D5)</f>
        <v>0.311744685422044</v>
      </c>
    </row>
    <row r="6" spans="1:6">
      <c r="A6" s="20" t="s">
        <v>9</v>
      </c>
      <c r="B6" s="22">
        <v>5.6738</v>
      </c>
      <c r="C6" s="22">
        <v>6.4849</v>
      </c>
      <c r="D6" s="22">
        <v>6.4543</v>
      </c>
      <c r="E6" s="35">
        <f t="shared" si="0"/>
        <v>6.20433333333333</v>
      </c>
      <c r="F6" s="36">
        <f t="shared" si="1"/>
        <v>0.375351660298564</v>
      </c>
    </row>
    <row r="7" spans="1:6">
      <c r="A7" s="20" t="s">
        <v>10</v>
      </c>
      <c r="B7" s="22">
        <v>7.4998</v>
      </c>
      <c r="C7" s="22">
        <v>8.2579</v>
      </c>
      <c r="D7" s="22">
        <v>8.3666</v>
      </c>
      <c r="E7" s="35">
        <f t="shared" si="0"/>
        <v>8.04143333333333</v>
      </c>
      <c r="F7" s="36">
        <f t="shared" si="1"/>
        <v>0.385554944924268</v>
      </c>
    </row>
    <row r="8" spans="1:6">
      <c r="A8" s="20" t="s">
        <v>11</v>
      </c>
      <c r="B8" s="22">
        <v>3.1854</v>
      </c>
      <c r="C8" s="22">
        <v>3.8809</v>
      </c>
      <c r="D8" s="22">
        <v>3.884</v>
      </c>
      <c r="E8" s="35">
        <f t="shared" si="0"/>
        <v>3.6501</v>
      </c>
      <c r="F8" s="36">
        <f t="shared" si="1"/>
        <v>0.328594958370737</v>
      </c>
    </row>
    <row r="9" spans="1:6">
      <c r="A9" s="20" t="s">
        <v>12</v>
      </c>
      <c r="B9" s="22">
        <v>3.6089</v>
      </c>
      <c r="C9" s="22">
        <v>4.3573</v>
      </c>
      <c r="D9" s="22">
        <v>4.3394</v>
      </c>
      <c r="E9" s="35">
        <f t="shared" si="0"/>
        <v>4.10186666666667</v>
      </c>
      <c r="F9" s="36">
        <f t="shared" si="1"/>
        <v>0.348656663336425</v>
      </c>
    </row>
    <row r="10" spans="1:6">
      <c r="A10" s="24" t="s">
        <v>13</v>
      </c>
      <c r="B10" s="26">
        <v>4.0711</v>
      </c>
      <c r="C10" s="26">
        <v>4.8036</v>
      </c>
      <c r="D10" s="26">
        <v>4.8189</v>
      </c>
      <c r="E10" s="37">
        <f t="shared" si="0"/>
        <v>4.56453333333333</v>
      </c>
      <c r="F10" s="38">
        <f t="shared" si="1"/>
        <v>0.348965961409164</v>
      </c>
    </row>
    <row r="12" spans="1:6">
      <c r="A12" s="39" t="s">
        <v>14</v>
      </c>
      <c r="B12" s="39"/>
      <c r="C12" s="39"/>
      <c r="D12" s="39"/>
      <c r="E12" s="39"/>
      <c r="F12" s="39"/>
    </row>
  </sheetData>
  <mergeCells count="3">
    <mergeCell ref="A1:F1"/>
    <mergeCell ref="A2:F2"/>
    <mergeCell ref="A12:F1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1" sqref="A1:F1"/>
    </sheetView>
  </sheetViews>
  <sheetFormatPr defaultColWidth="9" defaultRowHeight="13.8" outlineLevelCol="5"/>
  <cols>
    <col min="1" max="1" width="16" customWidth="1"/>
    <col min="2" max="6" width="13" customWidth="1"/>
  </cols>
  <sheetData>
    <row r="1" ht="16.8" spans="1:6">
      <c r="A1" s="29" t="s">
        <v>19</v>
      </c>
      <c r="B1" s="29"/>
      <c r="C1" s="29"/>
      <c r="D1" s="29"/>
      <c r="E1" s="29"/>
      <c r="F1" s="29"/>
    </row>
    <row r="2" spans="1:6">
      <c r="A2" s="30" t="s">
        <v>20</v>
      </c>
      <c r="B2" s="30"/>
      <c r="C2" s="30"/>
      <c r="D2" s="30"/>
      <c r="E2" s="30"/>
      <c r="F2" s="30"/>
    </row>
    <row r="4" spans="1:6">
      <c r="A4" s="16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</row>
    <row r="5" spans="1:6">
      <c r="A5" s="31" t="s">
        <v>8</v>
      </c>
      <c r="B5" s="32">
        <v>5.2377</v>
      </c>
      <c r="C5" s="32">
        <v>5.0948</v>
      </c>
      <c r="D5" s="32">
        <v>5.129</v>
      </c>
      <c r="E5" s="33">
        <f t="shared" ref="E5:E10" si="0">AVERAGE(B5:D5)</f>
        <v>5.15383333333333</v>
      </c>
      <c r="F5" s="34">
        <f t="shared" ref="F5:F10" si="1">_xlfn.STDEV.P(B5:D5)</f>
        <v>0.0609241240305423</v>
      </c>
    </row>
    <row r="6" spans="1:6">
      <c r="A6" s="20" t="s">
        <v>9</v>
      </c>
      <c r="B6" s="22">
        <v>6.5867</v>
      </c>
      <c r="C6" s="22">
        <v>6.4493</v>
      </c>
      <c r="D6" s="22">
        <v>6.4378</v>
      </c>
      <c r="E6" s="35">
        <f t="shared" si="0"/>
        <v>6.49126666666667</v>
      </c>
      <c r="F6" s="36">
        <f t="shared" si="1"/>
        <v>0.0676446762297096</v>
      </c>
    </row>
    <row r="7" spans="1:6">
      <c r="A7" s="20" t="s">
        <v>10</v>
      </c>
      <c r="B7" s="22">
        <v>8.2687</v>
      </c>
      <c r="C7" s="22">
        <v>8.2751</v>
      </c>
      <c r="D7" s="22">
        <v>8.2236</v>
      </c>
      <c r="E7" s="35">
        <f t="shared" si="0"/>
        <v>8.2558</v>
      </c>
      <c r="F7" s="36">
        <f t="shared" si="1"/>
        <v>0.0229182605506327</v>
      </c>
    </row>
    <row r="8" spans="1:6">
      <c r="A8" s="20" t="s">
        <v>11</v>
      </c>
      <c r="B8" s="22">
        <v>3.9726</v>
      </c>
      <c r="C8" s="22">
        <v>3.952</v>
      </c>
      <c r="D8" s="22">
        <v>3.902</v>
      </c>
      <c r="E8" s="35">
        <f t="shared" si="0"/>
        <v>3.9422</v>
      </c>
      <c r="F8" s="36">
        <f t="shared" si="1"/>
        <v>0.0296436614922425</v>
      </c>
    </row>
    <row r="9" spans="1:6">
      <c r="A9" s="20" t="s">
        <v>12</v>
      </c>
      <c r="B9" s="22">
        <v>4.4075</v>
      </c>
      <c r="C9" s="22">
        <v>4.3868</v>
      </c>
      <c r="D9" s="22">
        <v>4.3208</v>
      </c>
      <c r="E9" s="35">
        <f t="shared" si="0"/>
        <v>4.3717</v>
      </c>
      <c r="F9" s="36">
        <f t="shared" si="1"/>
        <v>0.0369705288033589</v>
      </c>
    </row>
    <row r="10" spans="1:6">
      <c r="A10" s="24" t="s">
        <v>13</v>
      </c>
      <c r="B10" s="26">
        <v>4.8313</v>
      </c>
      <c r="C10" s="26">
        <v>4.8461</v>
      </c>
      <c r="D10" s="26">
        <v>4.7722</v>
      </c>
      <c r="E10" s="37">
        <f t="shared" si="0"/>
        <v>4.81653333333333</v>
      </c>
      <c r="F10" s="38">
        <f t="shared" si="1"/>
        <v>0.0319253643501353</v>
      </c>
    </row>
    <row r="12" spans="1:6">
      <c r="A12" s="39" t="s">
        <v>14</v>
      </c>
      <c r="B12" s="39"/>
      <c r="C12" s="39"/>
      <c r="D12" s="39"/>
      <c r="E12" s="39"/>
      <c r="F12" s="39"/>
    </row>
  </sheetData>
  <mergeCells count="3">
    <mergeCell ref="A1:F1"/>
    <mergeCell ref="A2:F2"/>
    <mergeCell ref="A12:F1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tabSelected="1" workbookViewId="0">
      <selection activeCell="I7" sqref="I7"/>
    </sheetView>
  </sheetViews>
  <sheetFormatPr defaultColWidth="9" defaultRowHeight="13.8"/>
  <cols>
    <col min="1" max="1" width="12" customWidth="1"/>
    <col min="2" max="2" width="30" customWidth="1"/>
    <col min="3" max="10" width="16" customWidth="1"/>
  </cols>
  <sheetData>
    <row r="1" ht="17.4" spans="1:14">
      <c r="A1" s="1" t="s">
        <v>21</v>
      </c>
      <c r="B1" s="1"/>
      <c r="C1" s="1"/>
      <c r="D1" s="1"/>
      <c r="E1" s="1"/>
      <c r="F1" s="1"/>
      <c r="G1" s="1"/>
      <c r="H1" s="1"/>
    </row>
    <row r="2" spans="1:14">
      <c r="A2" s="2" t="s">
        <v>22</v>
      </c>
      <c r="B2" s="2"/>
      <c r="C2" s="2"/>
      <c r="D2" s="2"/>
      <c r="E2" s="2"/>
      <c r="F2" s="2"/>
      <c r="G2" s="2"/>
      <c r="H2" s="2"/>
    </row>
    <row r="4" spans="1:14">
      <c r="A4" s="3" t="s">
        <v>23</v>
      </c>
      <c r="B4" s="3" t="s">
        <v>24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14">
      <c r="A5" s="4" t="s">
        <v>25</v>
      </c>
      <c r="B5" s="5" t="s">
        <v>26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31</v>
      </c>
      <c r="H5" s="6" t="s">
        <v>32</v>
      </c>
    </row>
    <row r="6" spans="1:14">
      <c r="A6" s="7" t="s">
        <v>33</v>
      </c>
      <c r="B6" s="8" t="s">
        <v>34</v>
      </c>
      <c r="C6" s="9" t="s">
        <v>35</v>
      </c>
      <c r="D6" s="9" t="s">
        <v>36</v>
      </c>
      <c r="E6" s="9" t="s">
        <v>37</v>
      </c>
      <c r="F6" s="9" t="s">
        <v>38</v>
      </c>
      <c r="G6" s="9" t="s">
        <v>39</v>
      </c>
      <c r="H6" s="9" t="s">
        <v>40</v>
      </c>
    </row>
    <row r="7" spans="1:14">
      <c r="A7" s="10" t="s">
        <v>41</v>
      </c>
      <c r="B7" s="11" t="s">
        <v>42</v>
      </c>
      <c r="C7" s="12" t="s">
        <v>43</v>
      </c>
      <c r="D7" s="12" t="s">
        <v>44</v>
      </c>
      <c r="E7" s="12" t="s">
        <v>45</v>
      </c>
      <c r="F7" s="12" t="s">
        <v>46</v>
      </c>
      <c r="G7" s="12" t="s">
        <v>47</v>
      </c>
      <c r="H7" s="12" t="s">
        <v>48</v>
      </c>
    </row>
    <row r="8" spans="1:14">
      <c r="A8" s="13" t="s">
        <v>49</v>
      </c>
      <c r="B8" s="14" t="s">
        <v>50</v>
      </c>
      <c r="C8" s="15" t="s">
        <v>51</v>
      </c>
      <c r="D8" s="15" t="s">
        <v>52</v>
      </c>
      <c r="E8" s="15" t="s">
        <v>53</v>
      </c>
      <c r="F8" s="15" t="s">
        <v>54</v>
      </c>
      <c r="G8" s="15" t="s">
        <v>55</v>
      </c>
      <c r="H8" s="15" t="s">
        <v>56</v>
      </c>
    </row>
    <row r="11" spans="1:14">
      <c r="A11" s="16" t="s">
        <v>57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spans="1:14">
      <c r="A12" s="17" t="s">
        <v>23</v>
      </c>
      <c r="B12" s="18" t="s">
        <v>2</v>
      </c>
      <c r="C12" s="18" t="s">
        <v>58</v>
      </c>
      <c r="D12" s="18" t="s">
        <v>59</v>
      </c>
      <c r="E12" s="18" t="s">
        <v>60</v>
      </c>
      <c r="F12" s="18" t="s">
        <v>61</v>
      </c>
      <c r="G12" s="18" t="s">
        <v>62</v>
      </c>
      <c r="H12" s="18" t="s">
        <v>63</v>
      </c>
      <c r="I12" s="18" t="s">
        <v>64</v>
      </c>
      <c r="J12" s="19" t="s">
        <v>65</v>
      </c>
    </row>
    <row r="13" spans="1:14">
      <c r="A13" s="20" t="s">
        <v>66</v>
      </c>
      <c r="B13" s="21" t="s">
        <v>8</v>
      </c>
      <c r="C13" s="22">
        <f>V0_DiffuRec!E5</f>
        <v>4.62863333333333</v>
      </c>
      <c r="D13" s="22">
        <f>V0_DiffuRec!F5</f>
        <v>0.542622485916518</v>
      </c>
      <c r="E13" s="22">
        <f>V1_CatEmb!E5</f>
        <v>3.9505</v>
      </c>
      <c r="F13" s="22">
        <f>V1_CatEmb!F5</f>
        <v>1.58964834056676</v>
      </c>
      <c r="G13" s="22">
        <f>V2_TaxLoss!E5</f>
        <v>4.80066666666667</v>
      </c>
      <c r="H13" s="22">
        <f>V2_TaxLoss!F5</f>
        <v>0.311744685422044</v>
      </c>
      <c r="I13" s="22">
        <f>V3_TaxoDiffuRec!E5</f>
        <v>5.15383333333333</v>
      </c>
      <c r="J13" s="23">
        <f>V3_TaxoDiffuRec!F5</f>
        <v>0.0609241240305423</v>
      </c>
    </row>
    <row r="14" spans="1:14">
      <c r="A14" s="20" t="s">
        <v>66</v>
      </c>
      <c r="B14" s="21" t="s">
        <v>9</v>
      </c>
      <c r="C14" s="22">
        <f>V0_DiffuRec!E6</f>
        <v>5.9484</v>
      </c>
      <c r="D14" s="22">
        <f>V0_DiffuRec!F6</f>
        <v>0.634848239082906</v>
      </c>
      <c r="E14" s="22">
        <f>V1_CatEmb!E6</f>
        <v>5.0963</v>
      </c>
      <c r="F14" s="22">
        <f>V1_CatEmb!F6</f>
        <v>1.81166172523092</v>
      </c>
      <c r="G14" s="22">
        <f>V2_TaxLoss!E6</f>
        <v>6.20433333333333</v>
      </c>
      <c r="H14" s="22">
        <f>V2_TaxLoss!F6</f>
        <v>0.375351660298564</v>
      </c>
      <c r="I14" s="22">
        <f>V3_TaxoDiffuRec!E6</f>
        <v>6.49126666666667</v>
      </c>
      <c r="J14" s="23">
        <f>V3_TaxoDiffuRec!F6</f>
        <v>0.0676446762297096</v>
      </c>
    </row>
    <row r="15" spans="1:14">
      <c r="A15" s="20" t="s">
        <v>66</v>
      </c>
      <c r="B15" s="21" t="s">
        <v>10</v>
      </c>
      <c r="C15" s="22">
        <f>V0_DiffuRec!E7</f>
        <v>7.64203333333333</v>
      </c>
      <c r="D15" s="22">
        <f>V0_DiffuRec!F7</f>
        <v>0.708191011584366</v>
      </c>
      <c r="E15" s="22">
        <f>V1_CatEmb!E7</f>
        <v>6.67306666666667</v>
      </c>
      <c r="F15" s="22">
        <f>V1_CatEmb!F7</f>
        <v>2.10715037010229</v>
      </c>
      <c r="G15" s="22">
        <f>V2_TaxLoss!E7</f>
        <v>8.04143333333333</v>
      </c>
      <c r="H15" s="22">
        <f>V2_TaxLoss!F7</f>
        <v>0.385554944924268</v>
      </c>
      <c r="I15" s="22">
        <f>V3_TaxoDiffuRec!E7</f>
        <v>8.2558</v>
      </c>
      <c r="J15" s="23">
        <f>V3_TaxoDiffuRec!F7</f>
        <v>0.0229182605506327</v>
      </c>
    </row>
    <row r="16" spans="1:14">
      <c r="A16" s="20" t="s">
        <v>66</v>
      </c>
      <c r="B16" s="21" t="s">
        <v>11</v>
      </c>
      <c r="C16" s="22">
        <f>V0_DiffuRec!E8</f>
        <v>3.4919</v>
      </c>
      <c r="D16" s="22">
        <f>V0_DiffuRec!F8</f>
        <v>0.461307930418139</v>
      </c>
      <c r="E16" s="22">
        <f>V1_CatEmb!E8</f>
        <v>2.98616666666667</v>
      </c>
      <c r="F16" s="22">
        <f>V1_CatEmb!F8</f>
        <v>1.33131797938067</v>
      </c>
      <c r="G16" s="22">
        <f>V2_TaxLoss!E8</f>
        <v>3.6501</v>
      </c>
      <c r="H16" s="22">
        <f>V2_TaxLoss!F8</f>
        <v>0.328594958370737</v>
      </c>
      <c r="I16" s="22">
        <f>V3_TaxoDiffuRec!E8</f>
        <v>3.9422</v>
      </c>
      <c r="J16" s="23">
        <f>V3_TaxoDiffuRec!F8</f>
        <v>0.0296436614922425</v>
      </c>
    </row>
    <row r="17" spans="1:10">
      <c r="A17" s="20" t="s">
        <v>66</v>
      </c>
      <c r="B17" s="21" t="s">
        <v>12</v>
      </c>
      <c r="C17" s="22">
        <f>V0_DiffuRec!E9</f>
        <v>3.9163</v>
      </c>
      <c r="D17" s="22">
        <f>V0_DiffuRec!F9</f>
        <v>0.489702140761776</v>
      </c>
      <c r="E17" s="22">
        <f>V1_CatEmb!E9</f>
        <v>3.3582</v>
      </c>
      <c r="F17" s="22">
        <f>V1_CatEmb!F9</f>
        <v>1.40346660333143</v>
      </c>
      <c r="G17" s="22">
        <f>V2_TaxLoss!E9</f>
        <v>4.10186666666667</v>
      </c>
      <c r="H17" s="22">
        <f>V2_TaxLoss!F9</f>
        <v>0.348656663336425</v>
      </c>
      <c r="I17" s="22">
        <f>V3_TaxoDiffuRec!E9</f>
        <v>4.3717</v>
      </c>
      <c r="J17" s="23">
        <f>V3_TaxoDiffuRec!F9</f>
        <v>0.0369705288033589</v>
      </c>
    </row>
    <row r="18" spans="1:10">
      <c r="A18" s="24" t="s">
        <v>66</v>
      </c>
      <c r="B18" s="25" t="s">
        <v>13</v>
      </c>
      <c r="C18" s="26">
        <f>V0_DiffuRec!E10</f>
        <v>4.34263333333333</v>
      </c>
      <c r="D18" s="26">
        <f>V0_DiffuRec!F10</f>
        <v>0.503988692553932</v>
      </c>
      <c r="E18" s="26">
        <f>V1_CatEmb!E10</f>
        <v>3.75476666666667</v>
      </c>
      <c r="F18" s="26">
        <f>V1_CatEmb!F10</f>
        <v>1.4774185738044</v>
      </c>
      <c r="G18" s="26">
        <f>V2_TaxLoss!E10</f>
        <v>4.56453333333333</v>
      </c>
      <c r="H18" s="26">
        <f>V2_TaxLoss!F10</f>
        <v>0.348965961409164</v>
      </c>
      <c r="I18" s="26">
        <f>V3_TaxoDiffuRec!E10</f>
        <v>4.81653333333333</v>
      </c>
      <c r="J18" s="27">
        <f>V3_TaxoDiffuRec!F10</f>
        <v>0.0319253643501353</v>
      </c>
    </row>
    <row r="20" spans="1:10">
      <c r="A20" s="28" t="s">
        <v>67</v>
      </c>
      <c r="B20" s="28"/>
      <c r="C20" s="28"/>
      <c r="D20" s="28"/>
      <c r="E20" s="28"/>
      <c r="F20" s="28"/>
      <c r="G20" s="28"/>
      <c r="H20" s="28"/>
    </row>
    <row r="21" spans="1:10">
      <c r="A21" s="28"/>
      <c r="B21" s="28"/>
      <c r="C21" s="28"/>
      <c r="D21" s="28"/>
      <c r="E21" s="28"/>
      <c r="F21" s="28"/>
      <c r="G21" s="28"/>
      <c r="H21" s="28"/>
    </row>
    <row r="22" spans="1:10">
      <c r="A22" s="28"/>
      <c r="B22" s="28"/>
      <c r="C22" s="28"/>
      <c r="D22" s="28"/>
      <c r="E22" s="28"/>
      <c r="F22" s="28"/>
      <c r="G22" s="28"/>
      <c r="H22" s="28"/>
    </row>
  </sheetData>
  <mergeCells count="4">
    <mergeCell ref="A1:H1"/>
    <mergeCell ref="A2:H2"/>
    <mergeCell ref="A11:N11"/>
    <mergeCell ref="A20:H22"/>
  </mergeCells>
  <pageMargins left="0.7" right="0.7" top="0.75" bottom="0.75" header="0.3" footer="0.3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V0_DiffuRec</vt:lpstr>
      <vt:lpstr>V1_CatEmb</vt:lpstr>
      <vt:lpstr>V2_TaxLoss</vt:lpstr>
      <vt:lpstr>V3_TaxoDiffuRec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Cao</cp:lastModifiedBy>
  <dcterms:created xsi:type="dcterms:W3CDTF">2026-05-24T16:29:46Z</dcterms:created>
  <dcterms:modified xsi:type="dcterms:W3CDTF">2026-05-24T16:30:12Z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14197AAE0C6B4180A59BAA658600E555_12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